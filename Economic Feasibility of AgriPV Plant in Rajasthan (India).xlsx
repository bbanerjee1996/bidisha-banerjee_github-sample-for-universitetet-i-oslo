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07df562d37d3be0/Desktop/Economic Feasibility Results/Kundanpur Excel/"/>
    </mc:Choice>
  </mc:AlternateContent>
  <xr:revisionPtr revIDLastSave="12" documentId="13_ncr:1_{50F6D067-5576-4671-BD24-9F7D47AA89D0}" xr6:coauthVersionLast="47" xr6:coauthVersionMax="47" xr10:uidLastSave="{81DEFE2E-B134-4AB5-BDAB-3EBFC126DC8B}"/>
  <bookViews>
    <workbookView xWindow="-108" yWindow="-108" windowWidth="23256" windowHeight="12456" activeTab="1" xr2:uid="{00000000-000D-0000-FFFF-FFFF00000000}"/>
  </bookViews>
  <sheets>
    <sheet name="Cash Flow Analysis" sheetId="1" r:id="rId1"/>
    <sheet name="Inputs and Assumptions" sheetId="3" r:id="rId2"/>
  </sheets>
  <calcPr calcId="191028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4" i="3" l="1"/>
  <c r="C45" i="3" s="1"/>
  <c r="H18" i="1"/>
  <c r="H19" i="1"/>
  <c r="H20" i="1"/>
  <c r="H21" i="1"/>
  <c r="H22" i="1"/>
  <c r="H23" i="1"/>
  <c r="H24" i="1"/>
  <c r="H25" i="1"/>
  <c r="H26" i="1"/>
  <c r="H27" i="1"/>
  <c r="G18" i="1"/>
  <c r="G19" i="1"/>
  <c r="G20" i="1"/>
  <c r="G21" i="1"/>
  <c r="G22" i="1"/>
  <c r="G23" i="1"/>
  <c r="G24" i="1"/>
  <c r="G25" i="1"/>
  <c r="G26" i="1"/>
  <c r="G27" i="1"/>
  <c r="C4" i="3"/>
  <c r="E3" i="1" l="1"/>
  <c r="C15" i="3"/>
  <c r="C52" i="3"/>
  <c r="C50" i="3"/>
  <c r="C47" i="3"/>
  <c r="C48" i="3" s="1"/>
  <c r="C26" i="3"/>
  <c r="C27" i="3" s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E4" i="1"/>
  <c r="C8" i="3"/>
  <c r="C23" i="3"/>
  <c r="B3" i="1"/>
  <c r="C7" i="3"/>
  <c r="C21" i="3"/>
  <c r="C34" i="3"/>
  <c r="C36" i="3" s="1"/>
  <c r="C16" i="3" l="1"/>
  <c r="C17" i="3" s="1"/>
  <c r="H6" i="1" s="1"/>
  <c r="E5" i="1"/>
  <c r="D3" i="1"/>
  <c r="G8" i="1"/>
  <c r="G16" i="1"/>
  <c r="G3" i="1"/>
  <c r="G7" i="1"/>
  <c r="G9" i="1"/>
  <c r="G17" i="1"/>
  <c r="G10" i="1"/>
  <c r="G14" i="1"/>
  <c r="G11" i="1"/>
  <c r="G12" i="1"/>
  <c r="G15" i="1"/>
  <c r="G4" i="1"/>
  <c r="G5" i="1"/>
  <c r="G13" i="1"/>
  <c r="G6" i="1"/>
  <c r="H5" i="1"/>
  <c r="H8" i="1"/>
  <c r="H12" i="1"/>
  <c r="H9" i="1"/>
  <c r="H15" i="1"/>
  <c r="H4" i="1"/>
  <c r="H13" i="1"/>
  <c r="H7" i="1"/>
  <c r="H11" i="1"/>
  <c r="H3" i="1"/>
  <c r="H14" i="1"/>
  <c r="H17" i="1"/>
  <c r="H16" i="1"/>
  <c r="H10" i="1"/>
  <c r="C10" i="3"/>
  <c r="I2" i="1"/>
  <c r="C25" i="3"/>
  <c r="F19" i="1"/>
  <c r="F20" i="1"/>
  <c r="F21" i="1"/>
  <c r="F22" i="1"/>
  <c r="F23" i="1"/>
  <c r="F24" i="1"/>
  <c r="F25" i="1"/>
  <c r="F26" i="1"/>
  <c r="F27" i="1"/>
  <c r="F18" i="1"/>
  <c r="F11" i="1"/>
  <c r="F15" i="1"/>
  <c r="F8" i="1"/>
  <c r="F4" i="1"/>
  <c r="F12" i="1"/>
  <c r="F5" i="1"/>
  <c r="F13" i="1"/>
  <c r="F7" i="1"/>
  <c r="F16" i="1"/>
  <c r="F6" i="1"/>
  <c r="F14" i="1"/>
  <c r="F9" i="1"/>
  <c r="F17" i="1"/>
  <c r="F10" i="1"/>
  <c r="F3" i="1"/>
  <c r="C24" i="3"/>
  <c r="C28" i="3"/>
  <c r="E6" i="1" l="1"/>
  <c r="C29" i="3"/>
  <c r="C30" i="3" s="1"/>
  <c r="C31" i="3" s="1"/>
  <c r="E7" i="1" l="1"/>
  <c r="B4" i="1"/>
  <c r="D4" i="1" l="1"/>
  <c r="E8" i="1"/>
  <c r="B5" i="1"/>
  <c r="D5" i="1" l="1"/>
  <c r="E9" i="1"/>
  <c r="B6" i="1"/>
  <c r="D6" i="1" l="1"/>
  <c r="E10" i="1"/>
  <c r="B7" i="1"/>
  <c r="D7" i="1" l="1"/>
  <c r="E11" i="1"/>
  <c r="B8" i="1"/>
  <c r="D8" i="1" l="1"/>
  <c r="E12" i="1"/>
  <c r="B9" i="1"/>
  <c r="D9" i="1" l="1"/>
  <c r="E13" i="1"/>
  <c r="B10" i="1"/>
  <c r="D10" i="1" l="1"/>
  <c r="E14" i="1"/>
  <c r="B11" i="1"/>
  <c r="D11" i="1" l="1"/>
  <c r="E15" i="1"/>
  <c r="B12" i="1"/>
  <c r="D12" i="1" l="1"/>
  <c r="E16" i="1"/>
  <c r="B13" i="1"/>
  <c r="D13" i="1" l="1"/>
  <c r="E17" i="1"/>
  <c r="B14" i="1"/>
  <c r="D14" i="1" l="1"/>
  <c r="E18" i="1"/>
  <c r="B15" i="1"/>
  <c r="D15" i="1" l="1"/>
  <c r="E19" i="1"/>
  <c r="B16" i="1"/>
  <c r="D16" i="1" l="1"/>
  <c r="E20" i="1"/>
  <c r="B17" i="1"/>
  <c r="D17" i="1" l="1"/>
  <c r="E21" i="1"/>
  <c r="B18" i="1"/>
  <c r="D18" i="1" l="1"/>
  <c r="E22" i="1"/>
  <c r="B19" i="1"/>
  <c r="D19" i="1" l="1"/>
  <c r="E23" i="1"/>
  <c r="B20" i="1"/>
  <c r="D20" i="1" l="1"/>
  <c r="E24" i="1"/>
  <c r="B21" i="1"/>
  <c r="D21" i="1" l="1"/>
  <c r="E25" i="1"/>
  <c r="B22" i="1"/>
  <c r="D22" i="1" l="1"/>
  <c r="E26" i="1"/>
  <c r="B23" i="1"/>
  <c r="D23" i="1" l="1"/>
  <c r="E27" i="1"/>
  <c r="B24" i="1"/>
  <c r="D24" i="1" l="1"/>
  <c r="B25" i="1"/>
  <c r="D25" i="1" l="1"/>
  <c r="B26" i="1"/>
  <c r="D26" i="1" l="1"/>
  <c r="B27" i="1"/>
  <c r="D27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3" i="1"/>
  <c r="J2" i="1"/>
  <c r="K2" i="1"/>
  <c r="K3" i="1" l="1"/>
  <c r="K4" i="1" s="1"/>
  <c r="K5" i="1" s="1"/>
  <c r="K6" i="1" s="1"/>
  <c r="K7" i="1" s="1"/>
  <c r="P2" i="1" s="1"/>
  <c r="N2" i="1"/>
  <c r="O2" i="1" s="1"/>
  <c r="J11" i="1"/>
  <c r="J3" i="1"/>
  <c r="J20" i="1"/>
  <c r="J12" i="1"/>
  <c r="J27" i="1"/>
  <c r="J19" i="1"/>
  <c r="J18" i="1"/>
  <c r="J10" i="1"/>
  <c r="J25" i="1"/>
  <c r="J9" i="1"/>
  <c r="J24" i="1"/>
  <c r="J23" i="1"/>
  <c r="J15" i="1"/>
  <c r="J22" i="1"/>
  <c r="J6" i="1"/>
  <c r="J21" i="1"/>
  <c r="J13" i="1"/>
  <c r="J5" i="1"/>
  <c r="J7" i="1"/>
  <c r="J4" i="1"/>
  <c r="J14" i="1"/>
  <c r="J17" i="1"/>
  <c r="J16" i="1"/>
  <c r="J26" i="1"/>
  <c r="J8" i="1"/>
  <c r="Q2" i="1"/>
  <c r="L2" i="1"/>
  <c r="K8" i="1" l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l="1"/>
  <c r="L19" i="1" s="1"/>
  <c r="L20" i="1" s="1"/>
  <c r="L21" i="1" s="1"/>
  <c r="L22" i="1" s="1"/>
  <c r="L23" i="1" s="1"/>
  <c r="L24" i="1" s="1"/>
  <c r="L25" i="1" s="1"/>
  <c r="L26" i="1" s="1"/>
  <c r="L27" i="1" s="1"/>
</calcChain>
</file>

<file path=xl/sharedStrings.xml><?xml version="1.0" encoding="utf-8"?>
<sst xmlns="http://schemas.openxmlformats.org/spreadsheetml/2006/main" count="70" uniqueCount="68">
  <si>
    <t>Year</t>
  </si>
  <si>
    <t>Net Annual Energy Generation (kWh)</t>
  </si>
  <si>
    <t>Agricultural Income (INR/annum)</t>
  </si>
  <si>
    <t>Revenue (INR/annum)</t>
  </si>
  <si>
    <t>O&amp;M Cost (INR/annum)</t>
  </si>
  <si>
    <t>Depreciation (INR)</t>
  </si>
  <si>
    <t>WC Interest (INR)</t>
  </si>
  <si>
    <t>EMI (INR)</t>
  </si>
  <si>
    <t>Net Cash Flow (INR)</t>
  </si>
  <si>
    <t>Discounted Cash Flow (INR)</t>
  </si>
  <si>
    <t>Cumulative Cash Flow (INR)</t>
  </si>
  <si>
    <t>Cumulative Discounted CF (INR)</t>
  </si>
  <si>
    <t>Net Present Value (INR) for 25 years</t>
  </si>
  <si>
    <t>Total Profitability (INR/acre/year)</t>
  </si>
  <si>
    <t>Payback Period (Years)</t>
  </si>
  <si>
    <t>IRR (in %) for 25 Years</t>
  </si>
  <si>
    <t>Project Finance</t>
  </si>
  <si>
    <t>Variable</t>
  </si>
  <si>
    <t>Value</t>
  </si>
  <si>
    <t>Project Size (MW)</t>
  </si>
  <si>
    <t>Useful Life (Years)</t>
  </si>
  <si>
    <t>Total Capital Cost (INR)</t>
  </si>
  <si>
    <t>Debt Ratio</t>
  </si>
  <si>
    <t>Equity Ratio</t>
  </si>
  <si>
    <t>Debt Amount (INR)</t>
  </si>
  <si>
    <t>Equity Amount (INR)</t>
  </si>
  <si>
    <t>Return on Equity (ROE) (%)</t>
  </si>
  <si>
    <t>Return on Equity (ROE) (INR)</t>
  </si>
  <si>
    <t>Discount Rate (%)</t>
  </si>
  <si>
    <t>Loan Terms</t>
  </si>
  <si>
    <t>Loan Tenure (Years)</t>
  </si>
  <si>
    <t>Interest Rate (%)</t>
  </si>
  <si>
    <t>Monthly Interest Rate(%)</t>
  </si>
  <si>
    <t>Monthly EMI (INR)</t>
  </si>
  <si>
    <t>Annual EMI (INR)</t>
  </si>
  <si>
    <t>Depreciation</t>
  </si>
  <si>
    <t>Depreciation Rate (Years 1-15) (%)</t>
  </si>
  <si>
    <t>Salvage Value (%)</t>
  </si>
  <si>
    <t>Depriciation(1st 15 years)(INR)</t>
  </si>
  <si>
    <t>Depreciation Rate (Years 16-25) (%)</t>
  </si>
  <si>
    <t>Depriciation(16th Year to 25th Year) (INR)</t>
  </si>
  <si>
    <t>Debt % Of Depreciation(INR) (1-15 Years)</t>
  </si>
  <si>
    <t>Debt % Of Depreciation(INR) (16-25 Years)</t>
  </si>
  <si>
    <t>Salvage Value (INR)</t>
  </si>
  <si>
    <t>Total Depriciable (INR)</t>
  </si>
  <si>
    <t>Total Depriciable(1st 15 years) (INR)</t>
  </si>
  <si>
    <t>Total Depriciable(Last 10 years) (INR)</t>
  </si>
  <si>
    <t>Depriciation(Last 10 years) (INR)</t>
  </si>
  <si>
    <t>Working Capital</t>
  </si>
  <si>
    <t>Working Capital (% of Capital Cost)</t>
  </si>
  <si>
    <t>Working Capital (INR)</t>
  </si>
  <si>
    <t>Working Capital Interest Rate (%)</t>
  </si>
  <si>
    <t>Annual Interest on Working Capital (INR)</t>
  </si>
  <si>
    <t>Variable Cost</t>
  </si>
  <si>
    <t>Initial O&amp;M Expense (INR)</t>
  </si>
  <si>
    <t>O&amp;M Escalation (%)</t>
  </si>
  <si>
    <t>Total Land (Acre)</t>
  </si>
  <si>
    <t>Generation</t>
  </si>
  <si>
    <t>Annual Runtime</t>
  </si>
  <si>
    <t>CUF (%)</t>
  </si>
  <si>
    <t>Gross Annual Energy Generation (kWh)</t>
  </si>
  <si>
    <t>kWh/kWp/year</t>
  </si>
  <si>
    <t>Auxiliary Consumption (%)</t>
  </si>
  <si>
    <t>Net Generation(%)</t>
  </si>
  <si>
    <t>Agricultural Income</t>
  </si>
  <si>
    <t>INR/ha</t>
  </si>
  <si>
    <t>INR/acre</t>
  </si>
  <si>
    <t>Total Agricultural Income for this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</si>
</sst>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₹&quot;\ #,##0;[Red]&quot;₹&quot;\ \-#,##0"/>
    <numFmt numFmtId="43" formatCode="_ * #,##0.00_ ;_ * \-#,##0.00_ ;_ * &quot;-&quot;??_ ;_ @_ "/>
    <numFmt numFmtId="164" formatCode="&quot;$&quot;#,##0.00_);[Red]\(&quot;$&quot;#,##0.00\)"/>
    <numFmt numFmtId="165" formatCode="&quot;₹&quot;\ #,##0"/>
    <numFmt numFmtId="166" formatCode="_ * #,##0_ ;_ * \-#,##0_ ;_ * &quot;-&quot;??_ ;_ @_ "/>
    <numFmt numFmtId="167" formatCode="&quot;₹&quot;\ #,##0.00"/>
    <numFmt numFmtId="168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62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wrapText="1"/>
    </xf>
    <xf numFmtId="1" fontId="0" fillId="0" borderId="0" xfId="0" applyNumberFormat="1"/>
    <xf numFmtId="2" fontId="0" fillId="2" borderId="0" xfId="0" applyNumberFormat="1" applyFill="1"/>
    <xf numFmtId="2" fontId="2" fillId="2" borderId="0" xfId="0" applyNumberFormat="1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/>
    </xf>
    <xf numFmtId="0" fontId="0" fillId="2" borderId="0" xfId="0" applyFill="1"/>
    <xf numFmtId="0" fontId="0" fillId="2" borderId="1" xfId="0" applyFill="1" applyBorder="1"/>
    <xf numFmtId="166" fontId="0" fillId="2" borderId="1" xfId="2" applyNumberFormat="1" applyFont="1" applyFill="1" applyBorder="1"/>
    <xf numFmtId="165" fontId="0" fillId="2" borderId="1" xfId="2" applyNumberFormat="1" applyFont="1" applyFill="1" applyBorder="1"/>
    <xf numFmtId="9" fontId="0" fillId="2" borderId="1" xfId="2" applyNumberFormat="1" applyFont="1" applyFill="1" applyBorder="1"/>
    <xf numFmtId="10" fontId="0" fillId="2" borderId="1" xfId="1" applyNumberFormat="1" applyFont="1" applyFill="1" applyBorder="1"/>
    <xf numFmtId="165" fontId="0" fillId="2" borderId="1" xfId="1" applyNumberFormat="1" applyFont="1" applyFill="1" applyBorder="1"/>
    <xf numFmtId="165" fontId="0" fillId="2" borderId="0" xfId="2" applyNumberFormat="1" applyFont="1" applyFill="1" applyBorder="1"/>
    <xf numFmtId="6" fontId="0" fillId="2" borderId="1" xfId="1" applyNumberFormat="1" applyFont="1" applyFill="1" applyBorder="1"/>
    <xf numFmtId="6" fontId="0" fillId="2" borderId="0" xfId="1" applyNumberFormat="1" applyFont="1" applyFill="1" applyBorder="1"/>
    <xf numFmtId="9" fontId="0" fillId="2" borderId="1" xfId="1" applyFont="1" applyFill="1" applyBorder="1"/>
    <xf numFmtId="167" fontId="0" fillId="2" borderId="1" xfId="1" applyNumberFormat="1" applyFont="1" applyFill="1" applyBorder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167" fontId="0" fillId="2" borderId="0" xfId="1" applyNumberFormat="1" applyFont="1" applyFill="1" applyBorder="1"/>
    <xf numFmtId="165" fontId="0" fillId="2" borderId="0" xfId="1" applyNumberFormat="1" applyFont="1" applyFill="1" applyBorder="1"/>
    <xf numFmtId="10" fontId="0" fillId="2" borderId="0" xfId="1" applyNumberFormat="1" applyFont="1" applyFill="1" applyBorder="1"/>
    <xf numFmtId="1" fontId="0" fillId="2" borderId="1" xfId="1" applyNumberFormat="1" applyFont="1" applyFill="1" applyBorder="1"/>
    <xf numFmtId="166" fontId="0" fillId="2" borderId="0" xfId="2" applyNumberFormat="1" applyFont="1" applyFill="1" applyBorder="1"/>
    <xf numFmtId="0" fontId="1" fillId="3" borderId="2" xfId="0" applyFont="1" applyFill="1" applyBorder="1"/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/>
    <xf numFmtId="0" fontId="1" fillId="3" borderId="0" xfId="0" applyFont="1" applyFill="1" applyAlignment="1">
      <alignment vertical="center"/>
    </xf>
    <xf numFmtId="165" fontId="0" fillId="0" borderId="0" xfId="0" applyNumberFormat="1"/>
    <xf numFmtId="165" fontId="0" fillId="0" borderId="1" xfId="0" applyNumberFormat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/>
    </xf>
    <xf numFmtId="2" fontId="0" fillId="2" borderId="1" xfId="1" applyNumberFormat="1" applyFont="1" applyFill="1" applyBorder="1"/>
    <xf numFmtId="165" fontId="0" fillId="0" borderId="1" xfId="0" applyNumberFormat="1" applyBorder="1"/>
    <xf numFmtId="164" fontId="0" fillId="0" borderId="0" xfId="0" applyNumberFormat="1"/>
    <xf numFmtId="9" fontId="0" fillId="0" borderId="0" xfId="1" applyFont="1" applyBorder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zoomScale="94" workbookViewId="0">
      <selection activeCell="W5" sqref="W5"/>
    </sheetView>
  </sheetViews>
  <sheetFormatPr defaultColWidth="8.88671875" defaultRowHeight="14.4" x14ac:dyDescent="0.3"/>
  <cols>
    <col min="1" max="1" width="6.33203125" style="3" customWidth="1"/>
    <col min="2" max="2" width="10.6640625" style="3" customWidth="1"/>
    <col min="3" max="3" width="12.6640625" style="3" customWidth="1"/>
    <col min="4" max="4" width="12.6640625" style="4" customWidth="1"/>
    <col min="5" max="5" width="12.6640625" style="1" customWidth="1"/>
    <col min="6" max="7" width="11.5546875" style="1" customWidth="1"/>
    <col min="8" max="8" width="13.5546875" style="1" customWidth="1"/>
    <col min="9" max="9" width="13.88671875" style="1" customWidth="1"/>
    <col min="10" max="10" width="14.109375" style="3" customWidth="1"/>
    <col min="11" max="11" width="14.44140625" style="1" customWidth="1"/>
    <col min="12" max="12" width="13.88671875" style="1" customWidth="1"/>
    <col min="13" max="13" width="2.6640625" style="1" customWidth="1"/>
    <col min="14" max="14" width="13.44140625" style="1" customWidth="1"/>
    <col min="15" max="15" width="14.33203125" style="1" customWidth="1"/>
    <col min="16" max="16" width="9.5546875" style="1" customWidth="1"/>
    <col min="17" max="17" width="9.6640625" style="1" customWidth="1"/>
    <col min="18" max="18" width="1.6640625" style="1" customWidth="1"/>
    <col min="19" max="16384" width="8.88671875" style="1"/>
  </cols>
  <sheetData>
    <row r="1" spans="1:18" ht="93.75" customHeight="1" x14ac:dyDescent="0.3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6" t="s">
        <v>9</v>
      </c>
      <c r="K1" s="7" t="s">
        <v>10</v>
      </c>
      <c r="L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52"/>
    </row>
    <row r="2" spans="1:18" s="2" customFormat="1" x14ac:dyDescent="0.3">
      <c r="A2" s="8">
        <v>0</v>
      </c>
      <c r="B2" s="8"/>
      <c r="C2" s="14"/>
      <c r="D2" s="43"/>
      <c r="E2" s="14"/>
      <c r="F2" s="14"/>
      <c r="G2" s="14"/>
      <c r="H2" s="14"/>
      <c r="I2" s="14">
        <f>-('Inputs and Assumptions'!C8)</f>
        <v>-6000000</v>
      </c>
      <c r="J2" s="14">
        <f t="shared" ref="J2:J27" si="0">I2/(1+11.46%)^A2</f>
        <v>-6000000</v>
      </c>
      <c r="K2" s="14">
        <f>I2</f>
        <v>-6000000</v>
      </c>
      <c r="L2" s="14">
        <f>J2</f>
        <v>-6000000</v>
      </c>
      <c r="N2" s="40">
        <f>SUM(I2:I27)/25</f>
        <v>1344587.7813724249</v>
      </c>
      <c r="O2" s="14">
        <f>N2/2.96</f>
        <v>454252.62884203542</v>
      </c>
      <c r="P2" s="47">
        <f>A7-(K7/I8)</f>
        <v>5.2847261276949311</v>
      </c>
      <c r="Q2" s="15">
        <f>IRR(I2:I27)</f>
        <v>0.19194817040314893</v>
      </c>
      <c r="R2" s="51"/>
    </row>
    <row r="3" spans="1:18" s="2" customFormat="1" x14ac:dyDescent="0.3">
      <c r="A3" s="9">
        <v>1</v>
      </c>
      <c r="B3" s="10">
        <f>'Inputs and Assumptions'!C48</f>
        <v>938984.39999999991</v>
      </c>
      <c r="C3" s="40">
        <f>'Inputs and Assumptions'!$C$52</f>
        <v>296000</v>
      </c>
      <c r="D3" s="41">
        <f>B3*3.14+C3</f>
        <v>3244411.0159999998</v>
      </c>
      <c r="E3" s="40">
        <f>'Inputs and Assumptions'!C38</f>
        <v>150000</v>
      </c>
      <c r="F3" s="40">
        <f>'Inputs and Assumptions'!$C$21</f>
        <v>934000</v>
      </c>
      <c r="G3" s="42">
        <f>IF(A3&lt;=15,'Inputs and Assumptions'!$C$36,0)</f>
        <v>71700</v>
      </c>
      <c r="H3" s="42">
        <f>IF(A3&lt;=15,'Inputs and Assumptions'!$C$17,0)</f>
        <v>1825947.5550333192</v>
      </c>
      <c r="I3" s="40">
        <f>(D3-(E3+G3+H3))</f>
        <v>1196763.4609666807</v>
      </c>
      <c r="J3" s="14">
        <f t="shared" si="0"/>
        <v>1073715.6477361212</v>
      </c>
      <c r="K3" s="40">
        <f>K2+I3</f>
        <v>-4803236.5390333198</v>
      </c>
      <c r="L3" s="40">
        <f>L2+J3</f>
        <v>-4926284.352263879</v>
      </c>
    </row>
    <row r="4" spans="1:18" x14ac:dyDescent="0.3">
      <c r="A4" s="9">
        <v>2</v>
      </c>
      <c r="B4" s="10">
        <f t="shared" ref="B4:B27" si="1">B3*(1-0.007)^(A4-A3)</f>
        <v>932411.50919999985</v>
      </c>
      <c r="C4" s="40">
        <f>'Inputs and Assumptions'!$C$52</f>
        <v>296000</v>
      </c>
      <c r="D4" s="41">
        <f t="shared" ref="D4:D27" si="2">B4*3.14+C4</f>
        <v>3223772.1388879996</v>
      </c>
      <c r="E4" s="40">
        <f>E3*(1+0.05)</f>
        <v>157500</v>
      </c>
      <c r="F4" s="40">
        <f>'Inputs and Assumptions'!$C$21</f>
        <v>934000</v>
      </c>
      <c r="G4" s="42">
        <f>IF(A4&lt;=15,'Inputs and Assumptions'!$C$36,0)</f>
        <v>71700</v>
      </c>
      <c r="H4" s="42">
        <f>IF(A4&lt;=15,'Inputs and Assumptions'!$C$17,0)</f>
        <v>1825947.5550333192</v>
      </c>
      <c r="I4" s="40">
        <f t="shared" ref="I4:I27" si="3">(D4-(E4+G4+H4))</f>
        <v>1168624.5838546804</v>
      </c>
      <c r="J4" s="14">
        <f t="shared" si="0"/>
        <v>940669.23550095083</v>
      </c>
      <c r="K4" s="40">
        <f t="shared" ref="K4:K27" si="4">K3+I4</f>
        <v>-3634611.9551786394</v>
      </c>
      <c r="L4" s="40">
        <f t="shared" ref="L4:L27" si="5">L3+J4</f>
        <v>-3985615.1167629282</v>
      </c>
    </row>
    <row r="5" spans="1:18" x14ac:dyDescent="0.3">
      <c r="A5" s="9">
        <v>3</v>
      </c>
      <c r="B5" s="10">
        <f t="shared" si="1"/>
        <v>925884.62863559986</v>
      </c>
      <c r="C5" s="40">
        <f>'Inputs and Assumptions'!$C$52</f>
        <v>296000</v>
      </c>
      <c r="D5" s="41">
        <f t="shared" si="2"/>
        <v>3203277.7339157835</v>
      </c>
      <c r="E5" s="40">
        <f t="shared" ref="E5:E27" si="6">E4*(1+0.05)</f>
        <v>165375</v>
      </c>
      <c r="F5" s="40">
        <f>'Inputs and Assumptions'!$C$21</f>
        <v>934000</v>
      </c>
      <c r="G5" s="42">
        <f>IF(A5&lt;=15,'Inputs and Assumptions'!$C$36,0)</f>
        <v>71700</v>
      </c>
      <c r="H5" s="42">
        <f>IF(A5&lt;=15,'Inputs and Assumptions'!$C$17,0)</f>
        <v>1825947.5550333192</v>
      </c>
      <c r="I5" s="40">
        <f t="shared" si="3"/>
        <v>1140255.1788824643</v>
      </c>
      <c r="J5" s="14">
        <f t="shared" si="0"/>
        <v>823464.60622601339</v>
      </c>
      <c r="K5" s="40">
        <f t="shared" si="4"/>
        <v>-2494356.7762961751</v>
      </c>
      <c r="L5" s="40">
        <f t="shared" si="5"/>
        <v>-3162150.5105369147</v>
      </c>
    </row>
    <row r="6" spans="1:18" x14ac:dyDescent="0.3">
      <c r="A6" s="9">
        <v>4</v>
      </c>
      <c r="B6" s="10">
        <f t="shared" si="1"/>
        <v>919403.43623515067</v>
      </c>
      <c r="C6" s="40">
        <f>'Inputs and Assumptions'!$C$52</f>
        <v>296000</v>
      </c>
      <c r="D6" s="41">
        <f t="shared" si="2"/>
        <v>3182926.7897783732</v>
      </c>
      <c r="E6" s="40">
        <f t="shared" si="6"/>
        <v>173643.75</v>
      </c>
      <c r="F6" s="40">
        <f>'Inputs and Assumptions'!$C$21</f>
        <v>934000</v>
      </c>
      <c r="G6" s="42">
        <f>IF(A6&lt;=15,'Inputs and Assumptions'!$C$36,0)</f>
        <v>71700</v>
      </c>
      <c r="H6" s="42">
        <f>IF(A6&lt;=15,'Inputs and Assumptions'!$C$17,0)</f>
        <v>1825947.5550333192</v>
      </c>
      <c r="I6" s="40">
        <f t="shared" si="3"/>
        <v>1111635.484745054</v>
      </c>
      <c r="J6" s="14">
        <f t="shared" si="0"/>
        <v>720254.94165636646</v>
      </c>
      <c r="K6" s="40">
        <f t="shared" si="4"/>
        <v>-1382721.291551121</v>
      </c>
      <c r="L6" s="40">
        <f t="shared" si="5"/>
        <v>-2441895.5688805482</v>
      </c>
    </row>
    <row r="7" spans="1:18" x14ac:dyDescent="0.3">
      <c r="A7" s="9">
        <v>5</v>
      </c>
      <c r="B7" s="10">
        <f t="shared" si="1"/>
        <v>912967.61218150461</v>
      </c>
      <c r="C7" s="40">
        <f>'Inputs and Assumptions'!$C$52</f>
        <v>296000</v>
      </c>
      <c r="D7" s="41">
        <f t="shared" si="2"/>
        <v>3162718.3022499247</v>
      </c>
      <c r="E7" s="40">
        <f t="shared" si="6"/>
        <v>182325.9375</v>
      </c>
      <c r="F7" s="40">
        <f>'Inputs and Assumptions'!$C$21</f>
        <v>934000</v>
      </c>
      <c r="G7" s="42">
        <f>IF(A7&lt;=15,'Inputs and Assumptions'!$C$36,0)</f>
        <v>71700</v>
      </c>
      <c r="H7" s="42">
        <f>IF(A7&lt;=15,'Inputs and Assumptions'!$C$17,0)</f>
        <v>1825947.5550333192</v>
      </c>
      <c r="I7" s="40">
        <f t="shared" si="3"/>
        <v>1082744.8097166056</v>
      </c>
      <c r="J7" s="14">
        <f t="shared" si="0"/>
        <v>629406.05553338549</v>
      </c>
      <c r="K7" s="40">
        <f t="shared" si="4"/>
        <v>-299976.48183451546</v>
      </c>
      <c r="L7" s="40">
        <f t="shared" si="5"/>
        <v>-1812489.5133471629</v>
      </c>
    </row>
    <row r="8" spans="1:18" x14ac:dyDescent="0.3">
      <c r="A8" s="9">
        <v>6</v>
      </c>
      <c r="B8" s="10">
        <f t="shared" si="1"/>
        <v>906576.83889623405</v>
      </c>
      <c r="C8" s="40">
        <f>'Inputs and Assumptions'!$C$52</f>
        <v>296000</v>
      </c>
      <c r="D8" s="41">
        <f t="shared" si="2"/>
        <v>3142651.2741341749</v>
      </c>
      <c r="E8" s="40">
        <f t="shared" si="6"/>
        <v>191442.234375</v>
      </c>
      <c r="F8" s="40">
        <f>'Inputs and Assumptions'!$C$21</f>
        <v>934000</v>
      </c>
      <c r="G8" s="42">
        <f>IF(A8&lt;=15,'Inputs and Assumptions'!$C$36,0)</f>
        <v>71700</v>
      </c>
      <c r="H8" s="42">
        <f>IF(A8&lt;=15,'Inputs and Assumptions'!$C$17,0)</f>
        <v>1825947.5550333192</v>
      </c>
      <c r="I8" s="40">
        <f t="shared" si="3"/>
        <v>1053561.4847258558</v>
      </c>
      <c r="J8" s="14">
        <f t="shared" si="0"/>
        <v>549472.10980137147</v>
      </c>
      <c r="K8" s="40">
        <f t="shared" si="4"/>
        <v>753585.00289134029</v>
      </c>
      <c r="L8" s="40">
        <f t="shared" si="5"/>
        <v>-1263017.4035457913</v>
      </c>
    </row>
    <row r="9" spans="1:18" x14ac:dyDescent="0.3">
      <c r="A9" s="12">
        <v>7</v>
      </c>
      <c r="B9" s="11">
        <f t="shared" si="1"/>
        <v>900230.80102396046</v>
      </c>
      <c r="C9" s="40">
        <f>'Inputs and Assumptions'!$C$52</f>
        <v>296000</v>
      </c>
      <c r="D9" s="41">
        <f t="shared" si="2"/>
        <v>3122724.7152152359</v>
      </c>
      <c r="E9" s="40">
        <f t="shared" si="6"/>
        <v>201014.34609375001</v>
      </c>
      <c r="F9" s="40">
        <f>'Inputs and Assumptions'!$C$21</f>
        <v>934000</v>
      </c>
      <c r="G9" s="42">
        <f>IF(A9&lt;=15,'Inputs and Assumptions'!$C$36,0)</f>
        <v>71700</v>
      </c>
      <c r="H9" s="42">
        <f>IF(A9&lt;=15,'Inputs and Assumptions'!$C$17,0)</f>
        <v>1825947.5550333192</v>
      </c>
      <c r="I9" s="42">
        <f t="shared" si="3"/>
        <v>1024062.8140881667</v>
      </c>
      <c r="J9" s="44">
        <f t="shared" si="0"/>
        <v>479174.08830884757</v>
      </c>
      <c r="K9" s="40">
        <f t="shared" si="4"/>
        <v>1777647.816979507</v>
      </c>
      <c r="L9" s="40">
        <f t="shared" si="5"/>
        <v>-783843.31523694377</v>
      </c>
    </row>
    <row r="10" spans="1:18" s="5" customFormat="1" x14ac:dyDescent="0.3">
      <c r="A10" s="13">
        <v>8</v>
      </c>
      <c r="B10" s="11">
        <f t="shared" si="1"/>
        <v>893929.18541679275</v>
      </c>
      <c r="C10" s="40">
        <f>'Inputs and Assumptions'!$C$52</f>
        <v>296000</v>
      </c>
      <c r="D10" s="41">
        <f t="shared" si="2"/>
        <v>3102937.6422087294</v>
      </c>
      <c r="E10" s="40">
        <f t="shared" si="6"/>
        <v>211065.06339843752</v>
      </c>
      <c r="F10" s="40">
        <f>'Inputs and Assumptions'!$C$21</f>
        <v>934000</v>
      </c>
      <c r="G10" s="42">
        <f>IF(A10&lt;=15,'Inputs and Assumptions'!$C$36,0)</f>
        <v>71700</v>
      </c>
      <c r="H10" s="42">
        <f>IF(A10&lt;=15,'Inputs and Assumptions'!$C$17,0)</f>
        <v>1825947.5550333192</v>
      </c>
      <c r="I10" s="42">
        <f t="shared" si="3"/>
        <v>994225.02377697267</v>
      </c>
      <c r="J10" s="44">
        <f t="shared" si="0"/>
        <v>417380.71624653728</v>
      </c>
      <c r="K10" s="40">
        <f t="shared" si="4"/>
        <v>2771872.8407564797</v>
      </c>
      <c r="L10" s="40">
        <f t="shared" si="5"/>
        <v>-366462.59899040649</v>
      </c>
    </row>
    <row r="11" spans="1:18" s="4" customFormat="1" x14ac:dyDescent="0.3">
      <c r="A11" s="13">
        <v>9</v>
      </c>
      <c r="B11" s="11">
        <f t="shared" si="1"/>
        <v>887671.68111887516</v>
      </c>
      <c r="C11" s="40">
        <f>'Inputs and Assumptions'!$C$52</f>
        <v>296000</v>
      </c>
      <c r="D11" s="41">
        <f t="shared" si="2"/>
        <v>3083289.078713268</v>
      </c>
      <c r="E11" s="40">
        <f t="shared" si="6"/>
        <v>221618.31656835941</v>
      </c>
      <c r="F11" s="40">
        <f>'Inputs and Assumptions'!$C$21</f>
        <v>934000</v>
      </c>
      <c r="G11" s="42">
        <f>IF(A11&lt;=15,'Inputs and Assumptions'!$C$36,0)</f>
        <v>71700</v>
      </c>
      <c r="H11" s="42">
        <f>IF(A11&lt;=15,'Inputs and Assumptions'!$C$17,0)</f>
        <v>1825947.5550333192</v>
      </c>
      <c r="I11" s="42">
        <f t="shared" si="3"/>
        <v>964023.20711158961</v>
      </c>
      <c r="J11" s="44">
        <f t="shared" si="0"/>
        <v>363091.54868733045</v>
      </c>
      <c r="K11" s="40">
        <f t="shared" si="4"/>
        <v>3735896.0478680693</v>
      </c>
      <c r="L11" s="40">
        <f t="shared" si="5"/>
        <v>-3371.0503030760447</v>
      </c>
    </row>
    <row r="12" spans="1:18" s="4" customFormat="1" x14ac:dyDescent="0.3">
      <c r="A12" s="13">
        <v>10</v>
      </c>
      <c r="B12" s="11">
        <f t="shared" si="1"/>
        <v>881457.979351043</v>
      </c>
      <c r="C12" s="40">
        <f>'Inputs and Assumptions'!$C$52</f>
        <v>296000</v>
      </c>
      <c r="D12" s="41">
        <f t="shared" si="2"/>
        <v>3063778.0551622752</v>
      </c>
      <c r="E12" s="40">
        <f t="shared" si="6"/>
        <v>232699.2323967774</v>
      </c>
      <c r="F12" s="40">
        <f>'Inputs and Assumptions'!$C$21</f>
        <v>934000</v>
      </c>
      <c r="G12" s="42">
        <f>IF(A12&lt;=15,'Inputs and Assumptions'!$C$36,0)</f>
        <v>71700</v>
      </c>
      <c r="H12" s="42">
        <f>IF(A12&lt;=15,'Inputs and Assumptions'!$C$17,0)</f>
        <v>1825947.5550333192</v>
      </c>
      <c r="I12" s="42">
        <f t="shared" si="3"/>
        <v>933431.26773217879</v>
      </c>
      <c r="J12" s="44">
        <f t="shared" si="0"/>
        <v>315421.98277139384</v>
      </c>
      <c r="K12" s="40">
        <f t="shared" si="4"/>
        <v>4669327.3156002481</v>
      </c>
      <c r="L12" s="40">
        <f t="shared" si="5"/>
        <v>312050.9324683178</v>
      </c>
    </row>
    <row r="13" spans="1:18" s="4" customFormat="1" x14ac:dyDescent="0.3">
      <c r="A13" s="13">
        <v>11</v>
      </c>
      <c r="B13" s="11">
        <f t="shared" si="1"/>
        <v>875287.77349558566</v>
      </c>
      <c r="C13" s="40">
        <f>'Inputs and Assumptions'!$C$52</f>
        <v>296000</v>
      </c>
      <c r="D13" s="41">
        <f t="shared" si="2"/>
        <v>3044403.6087761391</v>
      </c>
      <c r="E13" s="40">
        <f t="shared" si="6"/>
        <v>244334.19401661627</v>
      </c>
      <c r="F13" s="40">
        <f>'Inputs and Assumptions'!$C$21</f>
        <v>934000</v>
      </c>
      <c r="G13" s="42">
        <f>IF(A13&lt;=15,'Inputs and Assumptions'!$C$36,0)</f>
        <v>71700</v>
      </c>
      <c r="H13" s="42">
        <f>IF(A13&lt;=15,'Inputs and Assumptions'!$C$17,0)</f>
        <v>1825947.5550333192</v>
      </c>
      <c r="I13" s="42">
        <f t="shared" si="3"/>
        <v>902421.85972620361</v>
      </c>
      <c r="J13" s="44">
        <f t="shared" si="0"/>
        <v>273589.97575408453</v>
      </c>
      <c r="K13" s="40">
        <f t="shared" si="4"/>
        <v>5571749.1753264517</v>
      </c>
      <c r="L13" s="40">
        <f t="shared" si="5"/>
        <v>585640.90822240233</v>
      </c>
    </row>
    <row r="14" spans="1:18" s="4" customFormat="1" x14ac:dyDescent="0.3">
      <c r="A14" s="13">
        <v>12</v>
      </c>
      <c r="B14" s="11">
        <f t="shared" si="1"/>
        <v>869160.75908111653</v>
      </c>
      <c r="C14" s="40">
        <f>'Inputs and Assumptions'!$C$52</f>
        <v>296000</v>
      </c>
      <c r="D14" s="41">
        <f t="shared" si="2"/>
        <v>3025164.783514706</v>
      </c>
      <c r="E14" s="40">
        <f t="shared" si="6"/>
        <v>256550.9037174471</v>
      </c>
      <c r="F14" s="40">
        <f>'Inputs and Assumptions'!$C$21</f>
        <v>934000</v>
      </c>
      <c r="G14" s="42">
        <f>IF(A14&lt;=15,'Inputs and Assumptions'!$C$36,0)</f>
        <v>71700</v>
      </c>
      <c r="H14" s="42">
        <f>IF(A14&lt;=15,'Inputs and Assumptions'!$C$17,0)</f>
        <v>1825947.5550333192</v>
      </c>
      <c r="I14" s="42">
        <f t="shared" si="3"/>
        <v>870966.32476393972</v>
      </c>
      <c r="J14" s="44">
        <f t="shared" si="0"/>
        <v>236904.27569809736</v>
      </c>
      <c r="K14" s="40">
        <f t="shared" si="4"/>
        <v>6442715.5000903914</v>
      </c>
      <c r="L14" s="40">
        <f t="shared" si="5"/>
        <v>822545.18392049964</v>
      </c>
    </row>
    <row r="15" spans="1:18" s="4" customFormat="1" x14ac:dyDescent="0.3">
      <c r="A15" s="13">
        <v>13</v>
      </c>
      <c r="B15" s="11">
        <f t="shared" si="1"/>
        <v>863076.63376754872</v>
      </c>
      <c r="C15" s="40">
        <f>'Inputs and Assumptions'!$C$52</f>
        <v>296000</v>
      </c>
      <c r="D15" s="41">
        <f t="shared" si="2"/>
        <v>3006060.630030103</v>
      </c>
      <c r="E15" s="40">
        <f t="shared" si="6"/>
        <v>269378.44890331948</v>
      </c>
      <c r="F15" s="40">
        <f>'Inputs and Assumptions'!$C$21</f>
        <v>934000</v>
      </c>
      <c r="G15" s="42">
        <f>IF(A15&lt;=15,'Inputs and Assumptions'!$C$36,0)</f>
        <v>71700</v>
      </c>
      <c r="H15" s="42">
        <f>IF(A15&lt;=15,'Inputs and Assumptions'!$C$17,0)</f>
        <v>1825947.5550333192</v>
      </c>
      <c r="I15" s="42">
        <f t="shared" si="3"/>
        <v>839034.62609346444</v>
      </c>
      <c r="J15" s="44">
        <f t="shared" si="0"/>
        <v>204753.99339308206</v>
      </c>
      <c r="K15" s="40">
        <f t="shared" si="4"/>
        <v>7281750.1261838563</v>
      </c>
      <c r="L15" s="40">
        <f t="shared" si="5"/>
        <v>1027299.1773135817</v>
      </c>
    </row>
    <row r="16" spans="1:18" s="4" customFormat="1" x14ac:dyDescent="0.3">
      <c r="A16" s="13">
        <v>14</v>
      </c>
      <c r="B16" s="11">
        <f t="shared" si="1"/>
        <v>857035.09733117581</v>
      </c>
      <c r="C16" s="40">
        <f>'Inputs and Assumptions'!$C$52</f>
        <v>296000</v>
      </c>
      <c r="D16" s="41">
        <f t="shared" si="2"/>
        <v>2987090.2056198921</v>
      </c>
      <c r="E16" s="40">
        <f t="shared" si="6"/>
        <v>282847.37134848547</v>
      </c>
      <c r="F16" s="40">
        <f>'Inputs and Assumptions'!$C$21</f>
        <v>934000</v>
      </c>
      <c r="G16" s="42">
        <f>IF(A16&lt;=15,'Inputs and Assumptions'!$C$36,0)</f>
        <v>71700</v>
      </c>
      <c r="H16" s="42">
        <f>IF(A16&lt;=15,'Inputs and Assumptions'!$C$17,0)</f>
        <v>1825947.5550333192</v>
      </c>
      <c r="I16" s="42">
        <f t="shared" si="3"/>
        <v>806595.27923808759</v>
      </c>
      <c r="J16" s="44">
        <f t="shared" si="0"/>
        <v>176599.36343553613</v>
      </c>
      <c r="K16" s="40">
        <f t="shared" si="4"/>
        <v>8088345.4054219443</v>
      </c>
      <c r="L16" s="40">
        <f t="shared" si="5"/>
        <v>1203898.5407491177</v>
      </c>
    </row>
    <row r="17" spans="1:12" s="4" customFormat="1" x14ac:dyDescent="0.3">
      <c r="A17" s="13">
        <v>15</v>
      </c>
      <c r="B17" s="11">
        <f t="shared" si="1"/>
        <v>851035.85164985759</v>
      </c>
      <c r="C17" s="40">
        <f>'Inputs and Assumptions'!$C$52</f>
        <v>296000</v>
      </c>
      <c r="D17" s="41">
        <f t="shared" si="2"/>
        <v>2968252.5741805527</v>
      </c>
      <c r="E17" s="40">
        <f t="shared" si="6"/>
        <v>296989.73991590977</v>
      </c>
      <c r="F17" s="40">
        <f>'Inputs and Assumptions'!$C$21</f>
        <v>934000</v>
      </c>
      <c r="G17" s="42">
        <f>IF(A17&lt;=15,'Inputs and Assumptions'!$C$36,0)</f>
        <v>71700</v>
      </c>
      <c r="H17" s="42">
        <f>IF(A17&lt;=15,'Inputs and Assumptions'!$C$17,0)</f>
        <v>1825947.5550333192</v>
      </c>
      <c r="I17" s="42">
        <f t="shared" si="3"/>
        <v>773615.27923132386</v>
      </c>
      <c r="J17" s="44">
        <f t="shared" si="0"/>
        <v>151963.5595741891</v>
      </c>
      <c r="K17" s="40">
        <f t="shared" si="4"/>
        <v>8861960.6846532673</v>
      </c>
      <c r="L17" s="40">
        <f t="shared" si="5"/>
        <v>1355862.1003233069</v>
      </c>
    </row>
    <row r="18" spans="1:12" s="4" customFormat="1" x14ac:dyDescent="0.3">
      <c r="A18" s="12">
        <v>16</v>
      </c>
      <c r="B18" s="11">
        <f t="shared" si="1"/>
        <v>845078.60068830859</v>
      </c>
      <c r="C18" s="40">
        <f>'Inputs and Assumptions'!$C$52</f>
        <v>296000</v>
      </c>
      <c r="D18" s="41">
        <f t="shared" si="2"/>
        <v>2949546.8061612891</v>
      </c>
      <c r="E18" s="40">
        <f t="shared" si="6"/>
        <v>311839.22691170528</v>
      </c>
      <c r="F18" s="42">
        <f>'Inputs and Assumptions'!$C$23</f>
        <v>400000</v>
      </c>
      <c r="G18" s="42">
        <f>IF(A18&lt;=15,'Inputs and Assumptions'!$C$36,0)</f>
        <v>0</v>
      </c>
      <c r="H18" s="42">
        <f>IF(A18&lt;=15,'Inputs and Assumptions'!$C$17,0)</f>
        <v>0</v>
      </c>
      <c r="I18" s="42">
        <f t="shared" si="3"/>
        <v>2637707.5792495837</v>
      </c>
      <c r="J18" s="44">
        <f t="shared" si="0"/>
        <v>464859.839289258</v>
      </c>
      <c r="K18" s="40">
        <f t="shared" si="4"/>
        <v>11499668.26390285</v>
      </c>
      <c r="L18" s="40">
        <f t="shared" si="5"/>
        <v>1820721.9396125649</v>
      </c>
    </row>
    <row r="19" spans="1:12" s="5" customFormat="1" x14ac:dyDescent="0.3">
      <c r="A19" s="9">
        <v>17</v>
      </c>
      <c r="B19" s="10">
        <f t="shared" si="1"/>
        <v>839163.05048349046</v>
      </c>
      <c r="C19" s="40">
        <f>'Inputs and Assumptions'!$C$52</f>
        <v>296000</v>
      </c>
      <c r="D19" s="41">
        <f t="shared" si="2"/>
        <v>2930971.9785181601</v>
      </c>
      <c r="E19" s="40">
        <f t="shared" si="6"/>
        <v>327431.18825729057</v>
      </c>
      <c r="F19" s="42">
        <f>'Inputs and Assumptions'!$C$23</f>
        <v>400000</v>
      </c>
      <c r="G19" s="42">
        <f>IF(A19&lt;=15,'Inputs and Assumptions'!$C$36,0)</f>
        <v>0</v>
      </c>
      <c r="H19" s="42">
        <f>IF(A19&lt;=15,'Inputs and Assumptions'!$C$17,0)</f>
        <v>0</v>
      </c>
      <c r="I19" s="45">
        <f t="shared" si="3"/>
        <v>2603540.7902608695</v>
      </c>
      <c r="J19" s="46">
        <f t="shared" si="0"/>
        <v>411661.95103192655</v>
      </c>
      <c r="K19" s="40">
        <f t="shared" si="4"/>
        <v>14103209.05416372</v>
      </c>
      <c r="L19" s="40">
        <f t="shared" si="5"/>
        <v>2232383.8906444917</v>
      </c>
    </row>
    <row r="20" spans="1:12" x14ac:dyDescent="0.3">
      <c r="A20" s="9">
        <v>18</v>
      </c>
      <c r="B20" s="10">
        <f t="shared" si="1"/>
        <v>833288.90913010598</v>
      </c>
      <c r="C20" s="40">
        <f>'Inputs and Assumptions'!$C$52</f>
        <v>296000</v>
      </c>
      <c r="D20" s="41">
        <f t="shared" si="2"/>
        <v>2912527.1746685328</v>
      </c>
      <c r="E20" s="40">
        <f t="shared" si="6"/>
        <v>343802.74767015513</v>
      </c>
      <c r="F20" s="42">
        <f>'Inputs and Assumptions'!$C$23</f>
        <v>400000</v>
      </c>
      <c r="G20" s="42">
        <f>IF(A20&lt;=15,'Inputs and Assumptions'!$C$36,0)</f>
        <v>0</v>
      </c>
      <c r="H20" s="42">
        <f>IF(A20&lt;=15,'Inputs and Assumptions'!$C$17,0)</f>
        <v>0</v>
      </c>
      <c r="I20" s="45">
        <f t="shared" si="3"/>
        <v>2568724.4269983778</v>
      </c>
      <c r="J20" s="46">
        <f t="shared" si="0"/>
        <v>364397.02163373237</v>
      </c>
      <c r="K20" s="40">
        <f t="shared" si="4"/>
        <v>16671933.481162097</v>
      </c>
      <c r="L20" s="40">
        <f t="shared" si="5"/>
        <v>2596780.9122782238</v>
      </c>
    </row>
    <row r="21" spans="1:12" x14ac:dyDescent="0.3">
      <c r="A21" s="9">
        <v>19</v>
      </c>
      <c r="B21" s="10">
        <f t="shared" si="1"/>
        <v>827455.88676619518</v>
      </c>
      <c r="C21" s="40">
        <f>'Inputs and Assumptions'!$C$52</f>
        <v>296000</v>
      </c>
      <c r="D21" s="41">
        <f t="shared" si="2"/>
        <v>2894211.4844458532</v>
      </c>
      <c r="E21" s="40">
        <f t="shared" si="6"/>
        <v>360992.88505366293</v>
      </c>
      <c r="F21" s="42">
        <f>'Inputs and Assumptions'!$C$23</f>
        <v>400000</v>
      </c>
      <c r="G21" s="42">
        <f>IF(A21&lt;=15,'Inputs and Assumptions'!$C$36,0)</f>
        <v>0</v>
      </c>
      <c r="H21" s="42">
        <f>IF(A21&lt;=15,'Inputs and Assumptions'!$C$17,0)</f>
        <v>0</v>
      </c>
      <c r="I21" s="45">
        <f t="shared" si="3"/>
        <v>2533218.5993921901</v>
      </c>
      <c r="J21" s="46">
        <f t="shared" si="0"/>
        <v>322411.80306144332</v>
      </c>
      <c r="K21" s="40">
        <f t="shared" si="4"/>
        <v>19205152.080554288</v>
      </c>
      <c r="L21" s="40">
        <f t="shared" si="5"/>
        <v>2919192.7153396672</v>
      </c>
    </row>
    <row r="22" spans="1:12" x14ac:dyDescent="0.3">
      <c r="A22" s="9">
        <v>20</v>
      </c>
      <c r="B22" s="10">
        <f t="shared" si="1"/>
        <v>821663.69555883179</v>
      </c>
      <c r="C22" s="40">
        <f>'Inputs and Assumptions'!$C$52</f>
        <v>296000</v>
      </c>
      <c r="D22" s="41">
        <f t="shared" si="2"/>
        <v>2876024.0040547322</v>
      </c>
      <c r="E22" s="40">
        <f t="shared" si="6"/>
        <v>379042.52930634608</v>
      </c>
      <c r="F22" s="42">
        <f>'Inputs and Assumptions'!$C$23</f>
        <v>400000</v>
      </c>
      <c r="G22" s="42">
        <f>IF(A22&lt;=15,'Inputs and Assumptions'!$C$36,0)</f>
        <v>0</v>
      </c>
      <c r="H22" s="42">
        <f>IF(A22&lt;=15,'Inputs and Assumptions'!$C$17,0)</f>
        <v>0</v>
      </c>
      <c r="I22" s="40">
        <f t="shared" si="3"/>
        <v>2496981.4747483861</v>
      </c>
      <c r="J22" s="14">
        <f t="shared" si="0"/>
        <v>285124.50604368257</v>
      </c>
      <c r="K22" s="40">
        <f t="shared" si="4"/>
        <v>21702133.555302672</v>
      </c>
      <c r="L22" s="40">
        <f t="shared" si="5"/>
        <v>3204317.22138335</v>
      </c>
    </row>
    <row r="23" spans="1:12" x14ac:dyDescent="0.3">
      <c r="A23" s="9">
        <v>21</v>
      </c>
      <c r="B23" s="10">
        <f t="shared" si="1"/>
        <v>815912.04968991992</v>
      </c>
      <c r="C23" s="40">
        <f>'Inputs and Assumptions'!$C$52</f>
        <v>296000</v>
      </c>
      <c r="D23" s="41">
        <f t="shared" si="2"/>
        <v>2857963.8360263486</v>
      </c>
      <c r="E23" s="40">
        <f t="shared" si="6"/>
        <v>397994.65577166341</v>
      </c>
      <c r="F23" s="42">
        <f>'Inputs and Assumptions'!$C$23</f>
        <v>400000</v>
      </c>
      <c r="G23" s="42">
        <f>IF(A23&lt;=15,'Inputs and Assumptions'!$C$36,0)</f>
        <v>0</v>
      </c>
      <c r="H23" s="42">
        <f>IF(A23&lt;=15,'Inputs and Assumptions'!$C$17,0)</f>
        <v>0</v>
      </c>
      <c r="I23" s="40">
        <f t="shared" si="3"/>
        <v>2459969.1802546852</v>
      </c>
      <c r="J23" s="14">
        <f t="shared" si="0"/>
        <v>252017.00900289358</v>
      </c>
      <c r="K23" s="40">
        <f t="shared" si="4"/>
        <v>24162102.735557359</v>
      </c>
      <c r="L23" s="40">
        <f t="shared" si="5"/>
        <v>3456334.2303862437</v>
      </c>
    </row>
    <row r="24" spans="1:12" x14ac:dyDescent="0.3">
      <c r="A24" s="9">
        <v>22</v>
      </c>
      <c r="B24" s="10">
        <f t="shared" si="1"/>
        <v>810200.66534209042</v>
      </c>
      <c r="C24" s="40">
        <f>'Inputs and Assumptions'!$C$52</f>
        <v>296000</v>
      </c>
      <c r="D24" s="41">
        <f t="shared" si="2"/>
        <v>2840030.089174164</v>
      </c>
      <c r="E24" s="40">
        <f t="shared" si="6"/>
        <v>417894.38856024662</v>
      </c>
      <c r="F24" s="42">
        <f>'Inputs and Assumptions'!$C$23</f>
        <v>400000</v>
      </c>
      <c r="G24" s="42">
        <f>IF(A24&lt;=15,'Inputs and Assumptions'!$C$36,0)</f>
        <v>0</v>
      </c>
      <c r="H24" s="42">
        <f>IF(A24&lt;=15,'Inputs and Assumptions'!$C$17,0)</f>
        <v>0</v>
      </c>
      <c r="I24" s="40">
        <f t="shared" si="3"/>
        <v>2422135.7006139173</v>
      </c>
      <c r="J24" s="14">
        <f t="shared" si="0"/>
        <v>222627.91504646887</v>
      </c>
      <c r="K24" s="40">
        <f t="shared" si="4"/>
        <v>26584238.436171275</v>
      </c>
      <c r="L24" s="40">
        <f t="shared" si="5"/>
        <v>3678962.1454327125</v>
      </c>
    </row>
    <row r="25" spans="1:12" x14ac:dyDescent="0.3">
      <c r="A25" s="9">
        <v>23</v>
      </c>
      <c r="B25" s="10">
        <f t="shared" si="1"/>
        <v>804529.26068469579</v>
      </c>
      <c r="C25" s="40">
        <f>'Inputs and Assumptions'!$C$52</f>
        <v>296000</v>
      </c>
      <c r="D25" s="41">
        <f t="shared" si="2"/>
        <v>2822221.8785499451</v>
      </c>
      <c r="E25" s="40">
        <f t="shared" si="6"/>
        <v>438789.10798825894</v>
      </c>
      <c r="F25" s="42">
        <f>'Inputs and Assumptions'!$C$23</f>
        <v>400000</v>
      </c>
      <c r="G25" s="42">
        <f>IF(A25&lt;=15,'Inputs and Assumptions'!$C$36,0)</f>
        <v>0</v>
      </c>
      <c r="H25" s="42">
        <f>IF(A25&lt;=15,'Inputs and Assumptions'!$C$17,0)</f>
        <v>0</v>
      </c>
      <c r="I25" s="40">
        <f t="shared" si="3"/>
        <v>2383432.7705616863</v>
      </c>
      <c r="J25" s="14">
        <f t="shared" si="0"/>
        <v>196546.36477647806</v>
      </c>
      <c r="K25" s="40">
        <f t="shared" si="4"/>
        <v>28967671.206732962</v>
      </c>
      <c r="L25" s="40">
        <f t="shared" si="5"/>
        <v>3875508.5102091907</v>
      </c>
    </row>
    <row r="26" spans="1:12" x14ac:dyDescent="0.3">
      <c r="A26" s="9">
        <v>24</v>
      </c>
      <c r="B26" s="10">
        <f t="shared" si="1"/>
        <v>798897.55585990287</v>
      </c>
      <c r="C26" s="40">
        <f>'Inputs and Assumptions'!$C$52</f>
        <v>296000</v>
      </c>
      <c r="D26" s="41">
        <f t="shared" si="2"/>
        <v>2804538.325400095</v>
      </c>
      <c r="E26" s="40">
        <f t="shared" si="6"/>
        <v>460728.56338767189</v>
      </c>
      <c r="F26" s="42">
        <f>'Inputs and Assumptions'!$C$23</f>
        <v>400000</v>
      </c>
      <c r="G26" s="42">
        <f>IF(A26&lt;=15,'Inputs and Assumptions'!$C$36,0)</f>
        <v>0</v>
      </c>
      <c r="H26" s="42">
        <f>IF(A26&lt;=15,'Inputs and Assumptions'!$C$17,0)</f>
        <v>0</v>
      </c>
      <c r="I26" s="40">
        <f t="shared" si="3"/>
        <v>2343809.762012423</v>
      </c>
      <c r="J26" s="14">
        <f t="shared" si="0"/>
        <v>173406.52270702034</v>
      </c>
      <c r="K26" s="40">
        <f t="shared" si="4"/>
        <v>31311480.968745384</v>
      </c>
      <c r="L26" s="40">
        <f t="shared" si="5"/>
        <v>4048915.0329162111</v>
      </c>
    </row>
    <row r="27" spans="1:12" x14ac:dyDescent="0.3">
      <c r="A27" s="9">
        <v>25</v>
      </c>
      <c r="B27" s="10">
        <f t="shared" si="1"/>
        <v>793305.27296888351</v>
      </c>
      <c r="C27" s="40">
        <f>'Inputs and Assumptions'!$C$52</f>
        <v>296000</v>
      </c>
      <c r="D27" s="41">
        <f t="shared" si="2"/>
        <v>2786978.5571222943</v>
      </c>
      <c r="E27" s="40">
        <f t="shared" si="6"/>
        <v>483764.9915570555</v>
      </c>
      <c r="F27" s="42">
        <f>'Inputs and Assumptions'!$C$23</f>
        <v>400000</v>
      </c>
      <c r="G27" s="42">
        <f>IF(A27&lt;=15,'Inputs and Assumptions'!$C$36,0)</f>
        <v>0</v>
      </c>
      <c r="H27" s="42">
        <f>IF(A27&lt;=15,'Inputs and Assumptions'!$C$17,0)</f>
        <v>0</v>
      </c>
      <c r="I27" s="40">
        <f t="shared" si="3"/>
        <v>2303213.5655652387</v>
      </c>
      <c r="J27" s="14">
        <f t="shared" si="0"/>
        <v>152882.66401734774</v>
      </c>
      <c r="K27" s="40">
        <f t="shared" si="4"/>
        <v>33614694.534310624</v>
      </c>
      <c r="L27" s="40">
        <f t="shared" si="5"/>
        <v>4201797.6969335591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EB9B2-AF38-4E9A-BE17-E82E5A16B41E}">
  <dimension ref="A1:J54"/>
  <sheetViews>
    <sheetView showGridLines="0" tabSelected="1" workbookViewId="0">
      <selection activeCell="E47" sqref="E47"/>
    </sheetView>
  </sheetViews>
  <sheetFormatPr defaultRowHeight="14.4" x14ac:dyDescent="0.3"/>
  <cols>
    <col min="1" max="1" width="16.33203125" customWidth="1"/>
    <col min="2" max="2" width="36.44140625" customWidth="1"/>
    <col min="3" max="3" width="24.33203125" customWidth="1"/>
    <col min="4" max="4" width="15.33203125" customWidth="1"/>
  </cols>
  <sheetData>
    <row r="1" spans="1:4" x14ac:dyDescent="0.3">
      <c r="A1" s="53" t="s">
        <v>16</v>
      </c>
      <c r="B1" s="35" t="s">
        <v>17</v>
      </c>
      <c r="C1" s="37" t="s">
        <v>18</v>
      </c>
    </row>
    <row r="2" spans="1:4" x14ac:dyDescent="0.3">
      <c r="A2" s="53"/>
      <c r="B2" s="36" t="s">
        <v>19</v>
      </c>
      <c r="C2" s="17">
        <v>0.6</v>
      </c>
    </row>
    <row r="3" spans="1:4" x14ac:dyDescent="0.3">
      <c r="A3" s="53"/>
      <c r="B3" s="36" t="s">
        <v>20</v>
      </c>
      <c r="C3" s="18">
        <v>25</v>
      </c>
    </row>
    <row r="4" spans="1:4" x14ac:dyDescent="0.3">
      <c r="A4" s="53"/>
      <c r="B4" s="36" t="s">
        <v>21</v>
      </c>
      <c r="C4" s="19">
        <f>20000000</f>
        <v>20000000</v>
      </c>
    </row>
    <row r="5" spans="1:4" x14ac:dyDescent="0.3">
      <c r="A5" s="53"/>
      <c r="B5" s="36" t="s">
        <v>22</v>
      </c>
      <c r="C5" s="20">
        <v>0.7</v>
      </c>
    </row>
    <row r="6" spans="1:4" x14ac:dyDescent="0.3">
      <c r="A6" s="53"/>
      <c r="B6" s="36" t="s">
        <v>23</v>
      </c>
      <c r="C6" s="20">
        <v>0.3</v>
      </c>
    </row>
    <row r="7" spans="1:4" x14ac:dyDescent="0.3">
      <c r="A7" s="53"/>
      <c r="B7" s="36" t="s">
        <v>24</v>
      </c>
      <c r="C7" s="19">
        <f>C4*C5</f>
        <v>14000000</v>
      </c>
    </row>
    <row r="8" spans="1:4" x14ac:dyDescent="0.3">
      <c r="A8" s="53"/>
      <c r="B8" s="36" t="s">
        <v>25</v>
      </c>
      <c r="C8" s="19">
        <f>C4*C6</f>
        <v>6000000</v>
      </c>
    </row>
    <row r="9" spans="1:4" x14ac:dyDescent="0.3">
      <c r="A9" s="53"/>
      <c r="B9" s="36" t="s">
        <v>26</v>
      </c>
      <c r="C9" s="21">
        <v>0.16470000000000001</v>
      </c>
    </row>
    <row r="10" spans="1:4" x14ac:dyDescent="0.3">
      <c r="A10" s="53"/>
      <c r="B10" s="36" t="s">
        <v>27</v>
      </c>
      <c r="C10" s="22">
        <f>C9*C8</f>
        <v>988200.00000000012</v>
      </c>
    </row>
    <row r="11" spans="1:4" x14ac:dyDescent="0.3">
      <c r="A11" s="54"/>
      <c r="B11" s="36" t="s">
        <v>28</v>
      </c>
      <c r="C11" s="21">
        <v>0.11459999999999999</v>
      </c>
    </row>
    <row r="12" spans="1:4" x14ac:dyDescent="0.3">
      <c r="A12" s="16"/>
      <c r="B12" s="16"/>
      <c r="C12" s="23"/>
    </row>
    <row r="13" spans="1:4" x14ac:dyDescent="0.3">
      <c r="A13" s="57" t="s">
        <v>29</v>
      </c>
      <c r="B13" s="36" t="s">
        <v>30</v>
      </c>
      <c r="C13" s="18">
        <v>15</v>
      </c>
      <c r="D13" s="50"/>
    </row>
    <row r="14" spans="1:4" x14ac:dyDescent="0.3">
      <c r="A14" s="57"/>
      <c r="B14" s="36" t="s">
        <v>31</v>
      </c>
      <c r="C14" s="21">
        <v>0.10249999999999999</v>
      </c>
    </row>
    <row r="15" spans="1:4" x14ac:dyDescent="0.3">
      <c r="A15" s="57"/>
      <c r="B15" s="36" t="s">
        <v>32</v>
      </c>
      <c r="C15" s="21">
        <f>C14/12</f>
        <v>8.5416666666666662E-3</v>
      </c>
    </row>
    <row r="16" spans="1:4" x14ac:dyDescent="0.3">
      <c r="A16" s="57"/>
      <c r="B16" s="36" t="s">
        <v>33</v>
      </c>
      <c r="C16" s="24">
        <f>PMT(0.0085,180,-(C7))</f>
        <v>152162.29625277661</v>
      </c>
    </row>
    <row r="17" spans="1:3" x14ac:dyDescent="0.3">
      <c r="A17" s="57"/>
      <c r="B17" s="36" t="s">
        <v>34</v>
      </c>
      <c r="C17" s="24">
        <f>ABS(C16*12)</f>
        <v>1825947.5550333192</v>
      </c>
    </row>
    <row r="18" spans="1:3" x14ac:dyDescent="0.3">
      <c r="A18" s="16"/>
      <c r="B18" s="16"/>
      <c r="C18" s="25"/>
    </row>
    <row r="19" spans="1:3" x14ac:dyDescent="0.3">
      <c r="A19" s="57" t="s">
        <v>35</v>
      </c>
      <c r="B19" s="36" t="s">
        <v>36</v>
      </c>
      <c r="C19" s="21">
        <v>4.6699999999999998E-2</v>
      </c>
    </row>
    <row r="20" spans="1:3" x14ac:dyDescent="0.3">
      <c r="A20" s="57"/>
      <c r="B20" s="36" t="s">
        <v>37</v>
      </c>
      <c r="C20" s="26">
        <v>0.1</v>
      </c>
    </row>
    <row r="21" spans="1:3" x14ac:dyDescent="0.3">
      <c r="A21" s="57"/>
      <c r="B21" s="36" t="s">
        <v>38</v>
      </c>
      <c r="C21" s="22">
        <f>C4*C19</f>
        <v>934000</v>
      </c>
    </row>
    <row r="22" spans="1:3" x14ac:dyDescent="0.3">
      <c r="A22" s="57"/>
      <c r="B22" s="36" t="s">
        <v>39</v>
      </c>
      <c r="C22" s="26">
        <v>0.02</v>
      </c>
    </row>
    <row r="23" spans="1:3" x14ac:dyDescent="0.3">
      <c r="A23" s="57"/>
      <c r="B23" s="36" t="s">
        <v>40</v>
      </c>
      <c r="C23" s="22">
        <f>C4*C22</f>
        <v>400000</v>
      </c>
    </row>
    <row r="24" spans="1:3" x14ac:dyDescent="0.3">
      <c r="A24" s="57"/>
      <c r="B24" s="36" t="s">
        <v>41</v>
      </c>
      <c r="C24" s="22">
        <f>C5*C21</f>
        <v>653800</v>
      </c>
    </row>
    <row r="25" spans="1:3" x14ac:dyDescent="0.3">
      <c r="A25" s="57"/>
      <c r="B25" s="36" t="s">
        <v>42</v>
      </c>
      <c r="C25" s="22">
        <f>C5*C23</f>
        <v>280000</v>
      </c>
    </row>
    <row r="26" spans="1:3" x14ac:dyDescent="0.3">
      <c r="A26" s="57"/>
      <c r="B26" s="36" t="s">
        <v>43</v>
      </c>
      <c r="C26" s="22">
        <f>C20*C4</f>
        <v>2000000</v>
      </c>
    </row>
    <row r="27" spans="1:3" x14ac:dyDescent="0.3">
      <c r="A27" s="57"/>
      <c r="B27" s="36" t="s">
        <v>44</v>
      </c>
      <c r="C27" s="22">
        <f>C4-C26</f>
        <v>18000000</v>
      </c>
    </row>
    <row r="28" spans="1:3" x14ac:dyDescent="0.3">
      <c r="A28" s="57"/>
      <c r="B28" s="36" t="s">
        <v>45</v>
      </c>
      <c r="C28" s="22">
        <f>C21*C13</f>
        <v>14010000</v>
      </c>
    </row>
    <row r="29" spans="1:3" x14ac:dyDescent="0.3">
      <c r="A29" s="57"/>
      <c r="B29" s="36" t="s">
        <v>46</v>
      </c>
      <c r="C29" s="22">
        <f>C27-C28</f>
        <v>3990000</v>
      </c>
    </row>
    <row r="30" spans="1:3" x14ac:dyDescent="0.3">
      <c r="A30" s="57"/>
      <c r="B30" s="36" t="s">
        <v>47</v>
      </c>
      <c r="C30" s="22">
        <f>C29/10</f>
        <v>399000</v>
      </c>
    </row>
    <row r="31" spans="1:3" x14ac:dyDescent="0.3">
      <c r="A31" s="57"/>
      <c r="B31" s="36" t="s">
        <v>42</v>
      </c>
      <c r="C31" s="27">
        <f>C5*C30</f>
        <v>279300</v>
      </c>
    </row>
    <row r="32" spans="1:3" x14ac:dyDescent="0.3">
      <c r="A32" s="28"/>
      <c r="B32" s="29"/>
      <c r="C32" s="30"/>
    </row>
    <row r="33" spans="1:3" x14ac:dyDescent="0.3">
      <c r="A33" s="57" t="s">
        <v>48</v>
      </c>
      <c r="B33" s="36" t="s">
        <v>49</v>
      </c>
      <c r="C33" s="26">
        <v>0.03</v>
      </c>
    </row>
    <row r="34" spans="1:3" x14ac:dyDescent="0.3">
      <c r="A34" s="57"/>
      <c r="B34" s="36" t="s">
        <v>50</v>
      </c>
      <c r="C34" s="22">
        <f>C33*C4</f>
        <v>600000</v>
      </c>
    </row>
    <row r="35" spans="1:3" x14ac:dyDescent="0.3">
      <c r="A35" s="57"/>
      <c r="B35" s="36" t="s">
        <v>51</v>
      </c>
      <c r="C35" s="21">
        <v>0.1195</v>
      </c>
    </row>
    <row r="36" spans="1:3" x14ac:dyDescent="0.3">
      <c r="A36" s="57"/>
      <c r="B36" s="36" t="s">
        <v>52</v>
      </c>
      <c r="C36" s="22">
        <f>C34*C35</f>
        <v>71700</v>
      </c>
    </row>
    <row r="37" spans="1:3" x14ac:dyDescent="0.3">
      <c r="A37" s="16"/>
      <c r="B37" s="16"/>
      <c r="C37" s="31"/>
    </row>
    <row r="38" spans="1:3" x14ac:dyDescent="0.3">
      <c r="A38" s="58" t="s">
        <v>53</v>
      </c>
      <c r="B38" s="36" t="s">
        <v>54</v>
      </c>
      <c r="C38" s="19">
        <v>150000</v>
      </c>
    </row>
    <row r="39" spans="1:3" x14ac:dyDescent="0.3">
      <c r="A39" s="53"/>
      <c r="B39" s="36" t="s">
        <v>55</v>
      </c>
      <c r="C39" s="21">
        <v>0.05</v>
      </c>
    </row>
    <row r="40" spans="1:3" x14ac:dyDescent="0.3">
      <c r="A40" s="53"/>
      <c r="B40" s="36" t="s">
        <v>56</v>
      </c>
      <c r="C40" s="48">
        <v>2.96</v>
      </c>
    </row>
    <row r="41" spans="1:3" x14ac:dyDescent="0.3">
      <c r="A41" s="16"/>
      <c r="B41" s="16"/>
      <c r="C41" s="32"/>
    </row>
    <row r="42" spans="1:3" x14ac:dyDescent="0.3">
      <c r="A42" s="59" t="s">
        <v>57</v>
      </c>
      <c r="B42" s="36" t="s">
        <v>58</v>
      </c>
      <c r="C42" s="33">
        <v>8760</v>
      </c>
    </row>
    <row r="43" spans="1:3" x14ac:dyDescent="0.3">
      <c r="A43" s="60"/>
      <c r="B43" s="36" t="s">
        <v>59</v>
      </c>
      <c r="C43" s="26">
        <v>0.18</v>
      </c>
    </row>
    <row r="44" spans="1:3" x14ac:dyDescent="0.3">
      <c r="A44" s="60"/>
      <c r="B44" s="36" t="s">
        <v>60</v>
      </c>
      <c r="C44" s="18">
        <f>C42*C43*C2*1000</f>
        <v>946079.99999999988</v>
      </c>
    </row>
    <row r="45" spans="1:3" x14ac:dyDescent="0.3">
      <c r="A45" s="60"/>
      <c r="B45" s="36" t="s">
        <v>61</v>
      </c>
      <c r="C45" s="18">
        <f>C44/600</f>
        <v>1576.7999999999997</v>
      </c>
    </row>
    <row r="46" spans="1:3" x14ac:dyDescent="0.3">
      <c r="A46" s="60"/>
      <c r="B46" s="36" t="s">
        <v>62</v>
      </c>
      <c r="C46" s="21">
        <v>7.4999999999999997E-3</v>
      </c>
    </row>
    <row r="47" spans="1:3" x14ac:dyDescent="0.3">
      <c r="A47" s="60"/>
      <c r="B47" s="36" t="s">
        <v>63</v>
      </c>
      <c r="C47" s="21">
        <f>1-C46</f>
        <v>0.99250000000000005</v>
      </c>
    </row>
    <row r="48" spans="1:3" x14ac:dyDescent="0.3">
      <c r="A48" s="61"/>
      <c r="B48" s="36" t="s">
        <v>1</v>
      </c>
      <c r="C48" s="18">
        <f>C47*C44</f>
        <v>938984.39999999991</v>
      </c>
    </row>
    <row r="49" spans="1:10" x14ac:dyDescent="0.3">
      <c r="A49" s="28"/>
      <c r="B49" s="29"/>
      <c r="C49" s="34"/>
    </row>
    <row r="50" spans="1:10" x14ac:dyDescent="0.3">
      <c r="A50" s="55" t="s">
        <v>64</v>
      </c>
      <c r="B50" s="36" t="s">
        <v>65</v>
      </c>
      <c r="C50" s="19">
        <f>C51*2.471</f>
        <v>247100</v>
      </c>
    </row>
    <row r="51" spans="1:10" x14ac:dyDescent="0.3">
      <c r="A51" s="56"/>
      <c r="B51" s="36" t="s">
        <v>66</v>
      </c>
      <c r="C51" s="19">
        <v>100000</v>
      </c>
    </row>
    <row r="52" spans="1:10" x14ac:dyDescent="0.3">
      <c r="A52" s="56"/>
      <c r="B52" s="38" t="s">
        <v>67</v>
      </c>
      <c r="C52" s="49">
        <f>C51*C40</f>
        <v>296000</v>
      </c>
    </row>
    <row r="54" spans="1:10" x14ac:dyDescent="0.3">
      <c r="J54" s="39"/>
    </row>
  </sheetData>
  <mergeCells count="7">
    <mergeCell ref="A1:A11"/>
    <mergeCell ref="A50:A52"/>
    <mergeCell ref="A13:A17"/>
    <mergeCell ref="A19:A31"/>
    <mergeCell ref="A33:A36"/>
    <mergeCell ref="A38:A40"/>
    <mergeCell ref="A42:A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 Flow Analysis</vt:lpstr>
      <vt:lpstr>Inputs and Assumptions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Bidisha Banerjee</cp:lastModifiedBy>
  <cp:revision/>
  <dcterms:created xsi:type="dcterms:W3CDTF">2025-07-07T16:11:23Z</dcterms:created>
  <dcterms:modified xsi:type="dcterms:W3CDTF">2026-05-12T09:20:17Z</dcterms:modified>
  <cp:category/>
  <cp:contentStatus/>
</cp:coreProperties>
</file>